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G Report" sheetId="1" state="visible" r:id="rId3"/>
    <sheet name="Sheet1" sheetId="2" state="visible" r:id="rId4"/>
  </sheets>
  <definedNames>
    <definedName function="false" hidden="true" localSheetId="0" name="_xlnm._FilterDatabase" vbProcedure="false">'JG Report'!$A$1:$DJ$3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<sst xmlns="http://schemas.openxmlformats.org/spreadsheetml/2006/main" count="256" uniqueCount="187">
  <si>
    <t xml:space="preserve">Fundraiser User Id</t>
  </si>
  <si>
    <t xml:space="preserve">Fundraiser Title</t>
  </si>
  <si>
    <t xml:space="preserve">Fundraiser FirstName</t>
  </si>
  <si>
    <t xml:space="preserve">Fundraiser LastName</t>
  </si>
  <si>
    <t xml:space="preserve">Fundraiser Address Line 1</t>
  </si>
  <si>
    <t xml:space="preserve">Fundraiser Address Line 2</t>
  </si>
  <si>
    <t xml:space="preserve">Fundraiser Town</t>
  </si>
  <si>
    <t xml:space="preserve">Fundraiser County</t>
  </si>
  <si>
    <t xml:space="preserve">Fundraiser Postcode</t>
  </si>
  <si>
    <t xml:space="preserve">Fundraiser Country</t>
  </si>
  <si>
    <t xml:space="preserve">Fundraiser E-mail</t>
  </si>
  <si>
    <t xml:space="preserve">Fundraiser Further Contact</t>
  </si>
  <si>
    <t xml:space="preserve">Fundraiser Connected Benefit</t>
  </si>
  <si>
    <t xml:space="preserve">Fundraising Page Id</t>
  </si>
  <si>
    <t xml:space="preserve">Fundraising Page Status</t>
  </si>
  <si>
    <t xml:space="preserve">Page Created Date</t>
  </si>
  <si>
    <t xml:space="preserve">Page Event Date</t>
  </si>
  <si>
    <t xml:space="preserve">Page Expiry Date</t>
  </si>
  <si>
    <t xml:space="preserve">Fundraising Page Offline Amount</t>
  </si>
  <si>
    <t xml:space="preserve">Fundraising Page Target Amount</t>
  </si>
  <si>
    <t xml:space="preserve">Fundraising Page Title</t>
  </si>
  <si>
    <t xml:space="preserve">Fundraising Page URL</t>
  </si>
  <si>
    <t xml:space="preserve">Fundraising Page Team Name</t>
  </si>
  <si>
    <t xml:space="preserve">Fundraising Page Team URL</t>
  </si>
  <si>
    <t xml:space="preserve">Fundraising Page Team Members</t>
  </si>
  <si>
    <t xml:space="preserve">In Memoriam Fund</t>
  </si>
  <si>
    <t xml:space="preserve">Organisation Portal</t>
  </si>
  <si>
    <t xml:space="preserve">Organisation Portal URL</t>
  </si>
  <si>
    <t xml:space="preserve">Fundraising Page In Memoriam Name</t>
  </si>
  <si>
    <t xml:space="preserve">Fundraising Page Birthday Name</t>
  </si>
  <si>
    <t xml:space="preserve">Fundraising Page Wedding Names</t>
  </si>
  <si>
    <t xml:space="preserve">Page Pledge Release Date</t>
  </si>
  <si>
    <t xml:space="preserve">Referral Site</t>
  </si>
  <si>
    <t xml:space="preserve">Referral Site URL</t>
  </si>
  <si>
    <t xml:space="preserve">Event Id</t>
  </si>
  <si>
    <t xml:space="preserve">Event Name</t>
  </si>
  <si>
    <t xml:space="preserve">Promoted Event</t>
  </si>
  <si>
    <t xml:space="preserve">User-Created Event</t>
  </si>
  <si>
    <t xml:space="preserve">Event Category</t>
  </si>
  <si>
    <t xml:space="preserve">Overseas Event</t>
  </si>
  <si>
    <t xml:space="preserve">Event Date</t>
  </si>
  <si>
    <t xml:space="preserve">Event Expiry Date</t>
  </si>
  <si>
    <t xml:space="preserve">Donor User Id</t>
  </si>
  <si>
    <t xml:space="preserve">Donor Title</t>
  </si>
  <si>
    <t xml:space="preserve">Donor FirstName</t>
  </si>
  <si>
    <t xml:space="preserve">Donor LastName</t>
  </si>
  <si>
    <t xml:space="preserve">Donor Address Line 1</t>
  </si>
  <si>
    <t xml:space="preserve">Donor Address Line 2</t>
  </si>
  <si>
    <t xml:space="preserve">Donor Town</t>
  </si>
  <si>
    <t xml:space="preserve">Donor County</t>
  </si>
  <si>
    <t xml:space="preserve">Donor Postcode</t>
  </si>
  <si>
    <t xml:space="preserve">Donor Country</t>
  </si>
  <si>
    <t xml:space="preserve">Donor E-mail</t>
  </si>
  <si>
    <t xml:space="preserve">Donor Further Contact</t>
  </si>
  <si>
    <t xml:space="preserve">Donor Is Connected</t>
  </si>
  <si>
    <t xml:space="preserve">Donor UK Tax Payer Status</t>
  </si>
  <si>
    <t xml:space="preserve">Donation Ref</t>
  </si>
  <si>
    <t xml:space="preserve">Donation Date</t>
  </si>
  <si>
    <t xml:space="preserve">Is Pledge</t>
  </si>
  <si>
    <t xml:space="preserve">Donation Source</t>
  </si>
  <si>
    <t xml:space="preserve">Product Source</t>
  </si>
  <si>
    <t xml:space="preserve">Payment Frequency</t>
  </si>
  <si>
    <t xml:space="preserve">Recurring Mandate Creation Date</t>
  </si>
  <si>
    <t xml:space="preserve">Appeal Name</t>
  </si>
  <si>
    <t xml:space="preserve">Payment Type</t>
  </si>
  <si>
    <t xml:space="preserve">SMS Operator</t>
  </si>
  <si>
    <t xml:space="preserve">SMS Operator Donor Transaction Fee</t>
  </si>
  <si>
    <t xml:space="preserve">Donation Payment Reference</t>
  </si>
  <si>
    <t xml:space="preserve">Donation Payment Reference Date</t>
  </si>
  <si>
    <t xml:space="preserve">Blank Column1</t>
  </si>
  <si>
    <t xml:space="preserve">Blank Column2</t>
  </si>
  <si>
    <t xml:space="preserve">Blank Column3</t>
  </si>
  <si>
    <t xml:space="preserve">Donation Amount</t>
  </si>
  <si>
    <t xml:space="preserve">Is Donation GA Eligible</t>
  </si>
  <si>
    <t xml:space="preserve">Payment Processing Fee Rate</t>
  </si>
  <si>
    <t xml:space="preserve">Payment Processing Fee Amount</t>
  </si>
  <si>
    <t xml:space="preserve">Payment Processing Flat Fee Amount</t>
  </si>
  <si>
    <t xml:space="preserve">Total Payment Processing Fee Amount</t>
  </si>
  <si>
    <t xml:space="preserve">JustGiving Transaction Fee Rate</t>
  </si>
  <si>
    <t xml:space="preserve">JustGiving Transaction Fee Amount</t>
  </si>
  <si>
    <t xml:space="preserve">Net Donation Amount</t>
  </si>
  <si>
    <t xml:space="preserve">Estimated VAT</t>
  </si>
  <si>
    <t xml:space="preserve">Amount Of JustGiving Transaction Fee Paid</t>
  </si>
  <si>
    <t xml:space="preserve">Amount Of Payment Processing Fee Paid</t>
  </si>
  <si>
    <t xml:space="preserve">Commission Payer</t>
  </si>
  <si>
    <t xml:space="preserve">Net Total Charges By JustGiving</t>
  </si>
  <si>
    <t xml:space="preserve">Net Donation Amount Paid</t>
  </si>
  <si>
    <t xml:space="preserve">Donation Origin</t>
  </si>
  <si>
    <t xml:space="preserve">Donation Nickname</t>
  </si>
  <si>
    <t xml:space="preserve">Message from Donor</t>
  </si>
  <si>
    <t xml:space="preserve">Third Party Referrer</t>
  </si>
  <si>
    <t xml:space="preserve">Custom Event Code 1</t>
  </si>
  <si>
    <t xml:space="preserve">Custom Event Code 2</t>
  </si>
  <si>
    <t xml:space="preserve">Custom Event Code 3</t>
  </si>
  <si>
    <t xml:space="preserve">Custom Fundraising 1</t>
  </si>
  <si>
    <t xml:space="preserve">Custom Fundraising 2</t>
  </si>
  <si>
    <t xml:space="preserve">Custom Fundraising 3</t>
  </si>
  <si>
    <t xml:space="preserve">Custom Fundraising 4</t>
  </si>
  <si>
    <t xml:space="preserve">Custom Fundraising 5</t>
  </si>
  <si>
    <t xml:space="preserve">Custom Fundraising 6</t>
  </si>
  <si>
    <t xml:space="preserve">Campaign Code 1</t>
  </si>
  <si>
    <t xml:space="preserve">Campaign Code 2</t>
  </si>
  <si>
    <t xml:space="preserve">Campaign Code 3</t>
  </si>
  <si>
    <t xml:space="preserve">Fundraiser Page Consent</t>
  </si>
  <si>
    <t xml:space="preserve">Fundraiser Page Consent Date</t>
  </si>
  <si>
    <t xml:space="preserve">Fundraiser Page Privacy Notice Version</t>
  </si>
  <si>
    <t xml:space="preserve">Fundraiser Page Consent Statement</t>
  </si>
  <si>
    <t xml:space="preserve">Donation Consent</t>
  </si>
  <si>
    <t xml:space="preserve">Donation Consent Date</t>
  </si>
  <si>
    <t xml:space="preserve">Donation Privacy Notice Version</t>
  </si>
  <si>
    <t xml:space="preserve">Donation Consent Statement</t>
  </si>
  <si>
    <t xml:space="preserve">Donation Has Donation Boost</t>
  </si>
  <si>
    <t xml:space="preserve">Donation Auth Amount Including Donation Boost</t>
  </si>
  <si>
    <t xml:space="preserve">Total Amount Including Gift Aid and Transitional Relief and Donation Boost</t>
  </si>
  <si>
    <t xml:space="preserve">7706203456</t>
  </si>
  <si>
    <t xml:space="preserve">xxx</t>
  </si>
  <si>
    <t xml:space="preserve">yyyyy</t>
  </si>
  <si>
    <t xml:space="preserve">nicola.w@pei.group</t>
  </si>
  <si>
    <t xml:space="preserve">No</t>
  </si>
  <si>
    <t xml:space="preserve">53774842</t>
  </si>
  <si>
    <t xml:space="preserve">Active</t>
  </si>
  <si>
    <t xml:space="preserve">28/11/2025</t>
  </si>
  <si>
    <t xml:space="preserve">27/05/2026</t>
  </si>
  <si>
    <t xml:space="preserve">PEI Group HR &amp; Operations Festive Fundraiser</t>
  </si>
  <si>
    <t xml:space="preserve">https://www.justgiving.com/page/hroperationsfundraiser</t>
  </si>
  <si>
    <t xml:space="preserve">JustGiving Atlas</t>
  </si>
  <si>
    <t xml:space="preserve">Just Fundraising</t>
  </si>
  <si>
    <t xml:space="preserve">Yes</t>
  </si>
  <si>
    <t xml:space="preserve">Other Occasions</t>
  </si>
  <si>
    <t xml:space="preserve">28/10/2025</t>
  </si>
  <si>
    <t xml:space="preserve">27/11/2026</t>
  </si>
  <si>
    <t xml:space="preserve">990868212</t>
  </si>
  <si>
    <t xml:space="preserve">Anonymous</t>
  </si>
  <si>
    <t xml:space="preserve">989777889</t>
  </si>
  <si>
    <t xml:space="preserve">04/11/2025</t>
  </si>
  <si>
    <t xml:space="preserve">Event</t>
  </si>
  <si>
    <t xml:space="preserve">Justgiving</t>
  </si>
  <si>
    <t xml:space="preserve">Single</t>
  </si>
  <si>
    <t xml:space="preserve">A Charity’s General Appeal</t>
  </si>
  <si>
    <t xml:space="preserve">ApplePay Visa Debit</t>
  </si>
  <si>
    <t xml:space="preserve">11/12/2025</t>
  </si>
  <si>
    <t xml:space="preserve">1.90%</t>
  </si>
  <si>
    <t xml:space="preserve">0.00%</t>
  </si>
  <si>
    <t xml:space="preserve">Donor</t>
  </si>
  <si>
    <t xml:space="preserve">Individual</t>
  </si>
  <si>
    <t xml:space="preserve">abc</t>
  </si>
  <si>
    <t xml:space="preserve">OF</t>
  </si>
  <si>
    <t xml:space="preserve">5140 - Corporate</t>
  </si>
  <si>
    <t xml:space="preserve">Corporate Income</t>
  </si>
  <si>
    <t xml:space="preserve">Corporate</t>
  </si>
  <si>
    <t xml:space="preserve">Unrestricted</t>
  </si>
  <si>
    <t xml:space="preserve">New Business</t>
  </si>
  <si>
    <t xml:space="preserve">2025-10-28 11:16:57</t>
  </si>
  <si>
    <t xml:space="preserve">JustGiving Privacy Policy Version 3.0</t>
  </si>
  <si>
    <t xml:space="preserve">note</t>
  </si>
  <si>
    <t xml:space="preserve">2025-11-04 10:07:15</t>
  </si>
  <si>
    <t xml:space="preserve">7706203468</t>
  </si>
  <si>
    <t xml:space="preserve">zzzzz</t>
  </si>
  <si>
    <t xml:space="preserve">A generous sponsor</t>
  </si>
  <si>
    <t xml:space="preserve">1 Southampton Row</t>
  </si>
  <si>
    <t xml:space="preserve">London</t>
  </si>
  <si>
    <t xml:space="preserve">EC4V 3BJ</t>
  </si>
  <si>
    <t xml:space="preserve">United Kingdom</t>
  </si>
  <si>
    <t xml:space="preserve">rec.manager@vintnersplace.co.uk</t>
  </si>
  <si>
    <t xml:space="preserve">53756881</t>
  </si>
  <si>
    <t xml:space="preserve">Completed</t>
  </si>
  <si>
    <t xml:space="preserve">13/11/2025</t>
  </si>
  <si>
    <t xml:space="preserve">24/11/2025</t>
  </si>
  <si>
    <t xml:space="preserve">12/12/2025</t>
  </si>
  <si>
    <t xml:space="preserve">Vintners' Place Christmas Raffle 2025</t>
  </si>
  <si>
    <t xml:space="preserve">https://www.justgiving.com/page/vintners-place-christmasraffle2025</t>
  </si>
  <si>
    <t xml:space="preserve">Christmas Event</t>
  </si>
  <si>
    <t xml:space="preserve">Other personal challenge</t>
  </si>
  <si>
    <t xml:space="preserve">24/10/2025</t>
  </si>
  <si>
    <t xml:space="preserve">12/1/2025</t>
  </si>
  <si>
    <t xml:space="preserve">990868223</t>
  </si>
  <si>
    <t xml:space="preserve">989777890</t>
  </si>
  <si>
    <t xml:space="preserve">08/11/2025</t>
  </si>
  <si>
    <t xml:space="preserve">American Express</t>
  </si>
  <si>
    <t xml:space="preserve">CL</t>
  </si>
  <si>
    <t xml:space="preserve">Southampton Row</t>
  </si>
  <si>
    <t xml:space="preserve">2025-10-13 12:38:55</t>
  </si>
  <si>
    <t xml:space="preserve">2025-11-08 18:11:31</t>
  </si>
  <si>
    <t xml:space="preserve">Sum of Donation Amount</t>
  </si>
  <si>
    <t xml:space="preserve">Sum of Net Total Charges By JustGiving</t>
  </si>
  <si>
    <t xml:space="preserve">(empty)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</si>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</sst>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<Relationship Id="rId7" Type="http://schemas.openxmlformats.org/officeDocument/2006/relationships/customXml" Target="../customXml/item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" createdVersion="3">
  <cacheSource type="worksheet">
    <worksheetSource ref="A:DJ" sheet="JG Report"/>
  </cacheSource>
  <cacheFields count="114">
    <cacheField name="Fundraiser User Id" numFmtId="0">
      <sharedItems containsBlank="1" count="3">
        <s v="7706203456"/>
        <s v="7706203468"/>
        <m/>
      </sharedItems>
    </cacheField>
    <cacheField name="Fundraiser Title" numFmtId="0">
      <sharedItems containsString="0" containsBlank="1" count="1">
        <m/>
      </sharedItems>
    </cacheField>
    <cacheField name="Fundraiser FirstName" numFmtId="0">
      <sharedItems containsBlank="1" count="2">
        <s v="xxx"/>
        <m/>
      </sharedItems>
    </cacheField>
    <cacheField name="Fundraiser LastName" numFmtId="0">
      <sharedItems containsBlank="1" count="3">
        <s v="yyyyy"/>
        <s v="zzzzz"/>
        <m/>
      </sharedItems>
    </cacheField>
    <cacheField name="Fundraiser Address Line 1" numFmtId="0">
      <sharedItems containsBlank="1" count="2">
        <s v="A generous sponsor"/>
        <m/>
      </sharedItems>
    </cacheField>
    <cacheField name="Fundraiser Address Line 2" numFmtId="0">
      <sharedItems containsBlank="1" count="2">
        <s v="1 Southampton Row"/>
        <m/>
      </sharedItems>
    </cacheField>
    <cacheField name="Fundraiser Town" numFmtId="0">
      <sharedItems containsBlank="1" count="2">
        <s v="London"/>
        <m/>
      </sharedItems>
    </cacheField>
    <cacheField name="Fundraiser County" numFmtId="0">
      <sharedItems containsString="0" containsBlank="1" count="1">
        <m/>
      </sharedItems>
    </cacheField>
    <cacheField name="Fundraiser Postcode" numFmtId="0">
      <sharedItems containsBlank="1" count="2">
        <s v="EC4V 3BJ"/>
        <m/>
      </sharedItems>
    </cacheField>
    <cacheField name="Fundraiser Country" numFmtId="0">
      <sharedItems containsBlank="1" count="2">
        <s v="United Kingdom"/>
        <m/>
      </sharedItems>
    </cacheField>
    <cacheField name="Fundraiser E-mail" numFmtId="0">
      <sharedItems containsBlank="1" count="3">
        <s v="nicola.w@pei.group"/>
        <s v="rec.manager@vintnersplace.co.uk"/>
        <m/>
      </sharedItems>
    </cacheField>
    <cacheField name="Fundraiser Further Contact" numFmtId="0">
      <sharedItems containsBlank="1" count="2">
        <s v="No"/>
        <m/>
      </sharedItems>
    </cacheField>
    <cacheField name="Fundraiser Connected Benefit" numFmtId="0">
      <sharedItems containsBlank="1" count="2">
        <s v="No"/>
        <m/>
      </sharedItems>
    </cacheField>
    <cacheField name="Fundraising Page Id" numFmtId="0">
      <sharedItems containsBlank="1" count="3">
        <s v="53756881"/>
        <s v="53774842"/>
        <m/>
      </sharedItems>
    </cacheField>
    <cacheField name="Fundraising Page Status" numFmtId="0">
      <sharedItems containsBlank="1" count="3">
        <s v="Active"/>
        <s v="Completed"/>
        <m/>
      </sharedItems>
    </cacheField>
    <cacheField name="Page Created Date" numFmtId="0">
      <sharedItems containsBlank="1" count="3">
        <s v="13/11/2025"/>
        <s v="28/11/2025"/>
        <m/>
      </sharedItems>
    </cacheField>
    <cacheField name="Page Event Date" numFmtId="0">
      <sharedItems containsBlank="1" count="3">
        <s v="24/11/2025"/>
        <s v="28/11/2025"/>
        <m/>
      </sharedItems>
    </cacheField>
    <cacheField name="Page Expiry Date" numFmtId="0">
      <sharedItems containsBlank="1" count="3">
        <s v="12/12/2025"/>
        <s v="27/05/2026"/>
        <m/>
      </sharedItems>
    </cacheField>
    <cacheField name="Fundraising Page Offline Amount" numFmtId="0">
      <sharedItems containsString="0" containsBlank="1" containsNumber="1" containsInteger="1" minValue="0" maxValue="0" count="2">
        <n v="0"/>
        <m/>
      </sharedItems>
    </cacheField>
    <cacheField name="Fundraising Page Target Amount" numFmtId="0">
      <sharedItems containsString="0" containsBlank="1" containsNumber="1" containsInteger="1" minValue="500" maxValue="500" count="2">
        <n v="500"/>
        <m/>
      </sharedItems>
    </cacheField>
    <cacheField name="Fundraising Page Title" numFmtId="0">
      <sharedItems containsBlank="1" count="3">
        <s v="PEI Group HR &amp; Operations Festive Fundraiser"/>
        <s v="Vintners' Place Christmas Raffle 2025"/>
        <m/>
      </sharedItems>
    </cacheField>
    <cacheField name="Fundraising Page URL" numFmtId="0">
      <sharedItems containsBlank="1" count="3">
        <s v="https://www.justgiving.com/page/hroperationsfundraiser"/>
        <s v="https://www.justgiving.com/page/vintners-place-christmasraffle2025"/>
        <m/>
      </sharedItems>
    </cacheField>
    <cacheField name="Fundraising Page Team Name" numFmtId="0">
      <sharedItems containsString="0" containsBlank="1" count="1">
        <m/>
      </sharedItems>
    </cacheField>
    <cacheField name="Fundraising Page Team URL" numFmtId="0">
      <sharedItems containsString="0" containsBlank="1" count="1">
        <m/>
      </sharedItems>
    </cacheField>
    <cacheField name="Fundraising Page Team Members" numFmtId="0">
      <sharedItems containsString="0" containsBlank="1" count="1">
        <m/>
      </sharedItems>
    </cacheField>
    <cacheField name="In Memoriam Fund" numFmtId="0">
      <sharedItems containsBlank="1" count="2">
        <s v="No"/>
        <m/>
      </sharedItems>
    </cacheField>
    <cacheField name="Organisation Portal" numFmtId="0">
      <sharedItems containsString="0" containsBlank="1" count="1">
        <m/>
      </sharedItems>
    </cacheField>
    <cacheField name="Organisation Portal URL" numFmtId="0">
      <sharedItems containsString="0" containsBlank="1" count="1">
        <m/>
      </sharedItems>
    </cacheField>
    <cacheField name="Fundraising Page In Memoriam Name" numFmtId="0">
      <sharedItems containsString="0" containsBlank="1" count="1">
        <m/>
      </sharedItems>
    </cacheField>
    <cacheField name="Fundraising Page Birthday Name" numFmtId="0">
      <sharedItems containsString="0" containsBlank="1" count="1">
        <m/>
      </sharedItems>
    </cacheField>
    <cacheField name="Fundraising Page Wedding Names" numFmtId="0">
      <sharedItems containsString="0" containsBlank="1" count="1">
        <m/>
      </sharedItems>
    </cacheField>
    <cacheField name="Page Pledge Release Date" numFmtId="0">
      <sharedItems containsString="0" containsBlank="1" count="1">
        <m/>
      </sharedItems>
    </cacheField>
    <cacheField name="Referral Site" numFmtId="0">
      <sharedItems containsBlank="1" count="2">
        <s v="JustGiving Atlas"/>
        <m/>
      </sharedItems>
    </cacheField>
    <cacheField name="Referral Site URL" numFmtId="0">
      <sharedItems containsString="0" containsBlank="1" count="1">
        <m/>
      </sharedItems>
    </cacheField>
    <cacheField name="Event Id" numFmtId="0">
      <sharedItems containsBlank="1" count="3">
        <s v="53756881"/>
        <s v="53774842"/>
        <m/>
      </sharedItems>
    </cacheField>
    <cacheField name="Event Name" numFmtId="0">
      <sharedItems containsBlank="1" count="3">
        <s v="Christmas Event"/>
        <s v="Just Fundraising"/>
        <m/>
      </sharedItems>
    </cacheField>
    <cacheField name="Promoted Event" numFmtId="0">
      <sharedItems containsBlank="1" count="2">
        <s v="No"/>
        <m/>
      </sharedItems>
    </cacheField>
    <cacheField name="User-Created Event" numFmtId="0">
      <sharedItems containsBlank="1" count="2">
        <s v="Yes"/>
        <m/>
      </sharedItems>
    </cacheField>
    <cacheField name="Event Category" numFmtId="0">
      <sharedItems containsBlank="1" count="3">
        <s v="Other Occasions"/>
        <s v="Other personal challenge"/>
        <m/>
      </sharedItems>
    </cacheField>
    <cacheField name="Overseas Event" numFmtId="0">
      <sharedItems containsBlank="1" count="2">
        <s v="No"/>
        <m/>
      </sharedItems>
    </cacheField>
    <cacheField name="Event Date" numFmtId="0">
      <sharedItems containsBlank="1" count="3">
        <s v="24/10/2025"/>
        <s v="28/10/2025"/>
        <m/>
      </sharedItems>
    </cacheField>
    <cacheField name="Event Expiry Date" numFmtId="0">
      <sharedItems containsBlank="1" count="3">
        <s v="12/1/2025"/>
        <s v="27/11/2026"/>
        <m/>
      </sharedItems>
    </cacheField>
    <cacheField name="Donor User Id" numFmtId="0">
      <sharedItems containsBlank="1" count="3">
        <s v="990868212"/>
        <s v="990868223"/>
        <m/>
      </sharedItems>
    </cacheField>
    <cacheField name="Donor Title" numFmtId="0">
      <sharedItems containsBlank="1" count="2">
        <s v="Anonymous"/>
        <m/>
      </sharedItems>
    </cacheField>
    <cacheField name="Donor FirstName" numFmtId="0">
      <sharedItems containsBlank="1" count="2">
        <s v="Anonymous"/>
        <m/>
      </sharedItems>
    </cacheField>
    <cacheField name="Donor LastName" numFmtId="0">
      <sharedItems containsBlank="1" count="2">
        <s v="Anonymous"/>
        <m/>
      </sharedItems>
    </cacheField>
    <cacheField name="Donor Address Line 1" numFmtId="0">
      <sharedItems containsBlank="1" count="2">
        <s v="Anonymous"/>
        <m/>
      </sharedItems>
    </cacheField>
    <cacheField name="Donor Address Line 2" numFmtId="0">
      <sharedItems containsBlank="1" count="2">
        <s v="Anonymous"/>
        <m/>
      </sharedItems>
    </cacheField>
    <cacheField name="Donor Town" numFmtId="0">
      <sharedItems containsBlank="1" count="2">
        <s v="Anonymous"/>
        <m/>
      </sharedItems>
    </cacheField>
    <cacheField name="Donor County" numFmtId="0">
      <sharedItems containsBlank="1" count="2">
        <s v="Anonymous"/>
        <m/>
      </sharedItems>
    </cacheField>
    <cacheField name="Donor Postcode" numFmtId="0">
      <sharedItems containsBlank="1" count="2">
        <s v="Anonymous"/>
        <m/>
      </sharedItems>
    </cacheField>
    <cacheField name="Donor Country" numFmtId="0">
      <sharedItems containsString="0" containsBlank="1" count="1">
        <m/>
      </sharedItems>
    </cacheField>
    <cacheField name="Donor E-mail" numFmtId="0">
      <sharedItems containsBlank="1" count="2">
        <s v="Anonymous"/>
        <m/>
      </sharedItems>
    </cacheField>
    <cacheField name="Donor Further Contact" numFmtId="0">
      <sharedItems containsBlank="1" count="2">
        <s v="No"/>
        <m/>
      </sharedItems>
    </cacheField>
    <cacheField name="Donor Is Connected" numFmtId="0">
      <sharedItems containsBlank="1" count="2">
        <s v="No"/>
        <m/>
      </sharedItems>
    </cacheField>
    <cacheField name="Donor UK Tax Payer Status" numFmtId="0">
      <sharedItems containsBlank="1" count="2">
        <s v="Yes"/>
        <m/>
      </sharedItems>
    </cacheField>
    <cacheField name="Donation Ref" numFmtId="0">
      <sharedItems containsBlank="1" count="3">
        <s v="989777889"/>
        <s v="989777890"/>
        <m/>
      </sharedItems>
    </cacheField>
    <cacheField name="Donation Date" numFmtId="0">
      <sharedItems containsBlank="1" count="3">
        <s v="04/11/2025"/>
        <s v="08/11/2025"/>
        <m/>
      </sharedItems>
    </cacheField>
    <cacheField name="Is Pledge" numFmtId="0">
      <sharedItems containsBlank="1" count="2">
        <s v="No"/>
        <m/>
      </sharedItems>
    </cacheField>
    <cacheField name="Donation Source" numFmtId="0">
      <sharedItems containsBlank="1" count="2">
        <s v="Event"/>
        <m/>
      </sharedItems>
    </cacheField>
    <cacheField name="Product Source" numFmtId="0">
      <sharedItems containsBlank="1" count="2">
        <s v="Justgiving"/>
        <m/>
      </sharedItems>
    </cacheField>
    <cacheField name="Payment Frequency" numFmtId="0">
      <sharedItems containsBlank="1" count="2">
        <s v="Single"/>
        <m/>
      </sharedItems>
    </cacheField>
    <cacheField name="Recurring Mandate Creation Date" numFmtId="0">
      <sharedItems containsString="0" containsBlank="1" count="1">
        <m/>
      </sharedItems>
    </cacheField>
    <cacheField name="Appeal Name" numFmtId="0">
      <sharedItems containsBlank="1" count="2">
        <s v="A Charity’s General Appeal"/>
        <m/>
      </sharedItems>
    </cacheField>
    <cacheField name="Payment Type" numFmtId="0">
      <sharedItems containsBlank="1" count="3">
        <s v="American Express"/>
        <s v="ApplePay Visa Debit"/>
        <m/>
      </sharedItems>
    </cacheField>
    <cacheField name="SMS Operator" numFmtId="0">
      <sharedItems containsString="0" containsBlank="1" count="1">
        <m/>
      </sharedItems>
    </cacheField>
    <cacheField name="SMS Operator Donor Transaction Fee" numFmtId="0">
      <sharedItems containsString="0" containsBlank="1" containsNumber="1" containsInteger="1" minValue="0" maxValue="0" count="2">
        <n v="0"/>
        <m/>
      </sharedItems>
    </cacheField>
    <cacheField name="Donation Payment Reference" numFmtId="0">
      <sharedItems containsString="0" containsBlank="1" containsNumber="1" containsInteger="1" minValue="4877123" maxValue="4877124" count="3">
        <n v="4877123"/>
        <n v="4877124"/>
        <m/>
      </sharedItems>
    </cacheField>
    <cacheField name="Donation Payment Reference Date" numFmtId="0">
      <sharedItems containsBlank="1" count="2">
        <s v="11/12/2025"/>
        <m/>
      </sharedItems>
    </cacheField>
    <cacheField name="Blank Column1" numFmtId="0">
      <sharedItems containsString="0" containsBlank="1" count="1">
        <m/>
      </sharedItems>
    </cacheField>
    <cacheField name="Blank Column2" numFmtId="0">
      <sharedItems containsString="0" containsBlank="1" count="1">
        <m/>
      </sharedItems>
    </cacheField>
    <cacheField name="Blank Column3" numFmtId="0">
      <sharedItems containsString="0" containsBlank="1" count="1">
        <m/>
      </sharedItems>
    </cacheField>
    <cacheField name="Donation Amount" numFmtId="0">
      <sharedItems containsString="0" containsBlank="1" containsNumber="1" containsInteger="1" minValue="10" maxValue="10" count="2">
        <n v="10"/>
        <m/>
      </sharedItems>
    </cacheField>
    <cacheField name="Is Donation GA Eligible" numFmtId="0">
      <sharedItems containsBlank="1" count="2">
        <s v="Yes"/>
        <m/>
      </sharedItems>
    </cacheField>
    <cacheField name="Payment Processing Fee Rate" numFmtId="0">
      <sharedItems containsBlank="1" count="2">
        <s v="1.90%"/>
        <m/>
      </sharedItems>
    </cacheField>
    <cacheField name="Payment Processing Fee Amount" numFmtId="0">
      <sharedItems containsString="0" containsBlank="1" containsNumber="1" minValue="0.19" maxValue="0.19" count="2">
        <n v="0.19"/>
        <m/>
      </sharedItems>
    </cacheField>
    <cacheField name="Payment Processing Flat Fee Amount" numFmtId="0">
      <sharedItems containsString="0" containsBlank="1" containsNumber="1" minValue="0.3" maxValue="0.3" count="2">
        <n v="0.3"/>
        <m/>
      </sharedItems>
    </cacheField>
    <cacheField name="Total Payment Processing Fee Amount" numFmtId="0">
      <sharedItems containsString="0" containsBlank="1" containsNumber="1" minValue="0.49" maxValue="0.49" count="2">
        <n v="0.49"/>
        <m/>
      </sharedItems>
    </cacheField>
    <cacheField name="JustGiving Transaction Fee Rate" numFmtId="0">
      <sharedItems containsBlank="1" count="2">
        <s v="0.00%"/>
        <m/>
      </sharedItems>
    </cacheField>
    <cacheField name="JustGiving Transaction Fee Amount" numFmtId="0">
      <sharedItems containsString="0" containsBlank="1" containsNumber="1" containsInteger="1" minValue="0" maxValue="0" count="2">
        <n v="0"/>
        <m/>
      </sharedItems>
    </cacheField>
    <cacheField name="Net Donation Amount" numFmtId="0">
      <sharedItems containsString="0" containsBlank="1" containsNumber="1" minValue="9.51" maxValue="9.51" count="2">
        <n v="9.51"/>
        <m/>
      </sharedItems>
    </cacheField>
    <cacheField name="Estimated VAT" numFmtId="0">
      <sharedItems containsString="0" containsBlank="1" containsNumber="1" containsInteger="1" minValue="0" maxValue="0" count="2">
        <n v="0"/>
        <m/>
      </sharedItems>
    </cacheField>
    <cacheField name="Amount Of JustGiving Transaction Fee Paid" numFmtId="0">
      <sharedItems containsString="0" containsBlank="1" containsNumber="1" containsInteger="1" minValue="0" maxValue="0" count="2">
        <n v="0"/>
        <m/>
      </sharedItems>
    </cacheField>
    <cacheField name="Amount Of Payment Processing Fee Paid" numFmtId="0">
      <sharedItems containsString="0" containsBlank="1" containsNumber="1" containsInteger="1" minValue="0" maxValue="0" count="2">
        <n v="0"/>
        <m/>
      </sharedItems>
    </cacheField>
    <cacheField name="Commission Payer" numFmtId="0">
      <sharedItems containsBlank="1" count="2">
        <s v="Donor"/>
        <m/>
      </sharedItems>
    </cacheField>
    <cacheField name="Net Total Charges By JustGiving" numFmtId="0">
      <sharedItems containsString="0" containsBlank="1" containsNumber="1" minValue="0.49" maxValue="0.49" count="2">
        <n v="0.49"/>
        <m/>
      </sharedItems>
    </cacheField>
    <cacheField name="Net Donation Amount Paid" numFmtId="0">
      <sharedItems containsString="0" containsBlank="1" containsNumber="1" minValue="9.51" maxValue="9.51" count="2">
        <n v="9.51"/>
        <m/>
      </sharedItems>
    </cacheField>
    <cacheField name="Donation Origin" numFmtId="0">
      <sharedItems containsBlank="1" count="2">
        <s v="Individual"/>
        <m/>
      </sharedItems>
    </cacheField>
    <cacheField name="Donation Nickname" numFmtId="0">
      <sharedItems containsBlank="1" count="2">
        <s v="abc"/>
        <m/>
      </sharedItems>
    </cacheField>
    <cacheField name="Message from Donor" numFmtId="0">
      <sharedItems containsString="0" containsBlank="1" count="1">
        <m/>
      </sharedItems>
    </cacheField>
    <cacheField name="Third Party Referrer" numFmtId="0">
      <sharedItems containsBlank="1" count="3">
        <s v="CL"/>
        <s v="OF"/>
        <m/>
      </sharedItems>
    </cacheField>
    <cacheField name="Custom Event Code 1" numFmtId="0">
      <sharedItems containsString="0" containsBlank="1" count="1">
        <m/>
      </sharedItems>
    </cacheField>
    <cacheField name="Custom Event Code 2" numFmtId="0">
      <sharedItems containsString="0" containsBlank="1" count="1">
        <m/>
      </sharedItems>
    </cacheField>
    <cacheField name="Custom Event Code 3" numFmtId="0">
      <sharedItems containsString="0" containsBlank="1" count="1">
        <m/>
      </sharedItems>
    </cacheField>
    <cacheField name="Custom Fundraising 1" numFmtId="0">
      <sharedItems containsBlank="1" count="2">
        <s v="5140 - Corporate"/>
        <m/>
      </sharedItems>
    </cacheField>
    <cacheField name="Custom Fundraising 2" numFmtId="0">
      <sharedItems containsBlank="1" count="3">
        <s v="Corporate"/>
        <s v="Corporate Income"/>
        <m/>
      </sharedItems>
    </cacheField>
    <cacheField name="Custom Fundraising 3" numFmtId="0">
      <sharedItems containsBlank="1" count="3">
        <s v="Corporate"/>
        <s v="Southampton Row"/>
        <m/>
      </sharedItems>
    </cacheField>
    <cacheField name="Custom Fundraising 4" numFmtId="0">
      <sharedItems containsBlank="1" count="2">
        <s v="Unrestricted"/>
        <m/>
      </sharedItems>
    </cacheField>
    <cacheField name="Custom Fundraising 5" numFmtId="0">
      <sharedItems containsBlank="1" count="2">
        <s v="New Business"/>
        <m/>
      </sharedItems>
    </cacheField>
    <cacheField name="Custom Fundraising 6" numFmtId="0">
      <sharedItems containsString="0" containsBlank="1" count="1">
        <m/>
      </sharedItems>
    </cacheField>
    <cacheField name="Campaign Code 1" numFmtId="0">
      <sharedItems containsString="0" containsBlank="1" count="1">
        <m/>
      </sharedItems>
    </cacheField>
    <cacheField name="Campaign Code 2" numFmtId="0">
      <sharedItems containsString="0" containsBlank="1" count="1">
        <m/>
      </sharedItems>
    </cacheField>
    <cacheField name="Campaign Code 3" numFmtId="0">
      <sharedItems containsString="0" containsBlank="1" count="1">
        <m/>
      </sharedItems>
    </cacheField>
    <cacheField name="Fundraiser Page Consent" numFmtId="0">
      <sharedItems containsBlank="1" count="2">
        <s v="No"/>
        <m/>
      </sharedItems>
    </cacheField>
    <cacheField name="Fundraiser Page Consent Date" numFmtId="0">
      <sharedItems containsBlank="1" count="3">
        <s v="2025-10-13 12:38:55"/>
        <s v="2025-10-28 11:16:57"/>
        <m/>
      </sharedItems>
    </cacheField>
    <cacheField name="Fundraiser Page Privacy Notice Version" numFmtId="0">
      <sharedItems containsBlank="1" count="2">
        <s v="JustGiving Privacy Policy Version 3.0"/>
        <m/>
      </sharedItems>
    </cacheField>
    <cacheField name="Fundraiser Page Consent Statement" numFmtId="0">
      <sharedItems containsBlank="1" count="2">
        <s v="note"/>
        <m/>
      </sharedItems>
    </cacheField>
    <cacheField name="Donation Consent" numFmtId="0">
      <sharedItems containsBlank="1" count="2">
        <s v="No"/>
        <m/>
      </sharedItems>
    </cacheField>
    <cacheField name="Donation Consent Date" numFmtId="0">
      <sharedItems containsBlank="1" count="3">
        <s v="2025-11-04 10:07:15"/>
        <s v="2025-11-08 18:11:31"/>
        <m/>
      </sharedItems>
    </cacheField>
    <cacheField name="Donation Privacy Notice Version" numFmtId="0">
      <sharedItems containsBlank="1" count="2">
        <s v="JustGiving Privacy Policy Version 3.0"/>
        <m/>
      </sharedItems>
    </cacheField>
    <cacheField name="Donation Consent Statement" numFmtId="0">
      <sharedItems containsBlank="1" count="2">
        <s v="note"/>
        <m/>
      </sharedItems>
    </cacheField>
    <cacheField name="Donation Has Donation Boost" numFmtId="0">
      <sharedItems containsBlank="1" count="2">
        <s v="No"/>
        <m/>
      </sharedItems>
    </cacheField>
    <cacheField name="Donation Auth Amount Including Donation Boost" numFmtId="0">
      <sharedItems containsString="0" containsBlank="1" containsNumber="1" containsInteger="1" minValue="10" maxValue="10" count="2">
        <n v="10"/>
        <m/>
      </sharedItems>
    </cacheField>
    <cacheField name="Total Amount Including Gift Aid and Transitional Relief and Donation Boost" numFmtId="0">
      <sharedItems containsString="0" containsBlank="1" containsNumber="1" minValue="12.5" maxValue="12.5" count="2">
        <n v="12.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x v="0"/>
    <x v="0"/>
    <x v="0"/>
    <x v="0"/>
    <x v="1"/>
    <x v="1"/>
    <x v="1"/>
    <x v="0"/>
    <x v="1"/>
    <x v="1"/>
    <x v="0"/>
    <x v="0"/>
    <x v="0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1"/>
    <x v="0"/>
    <x v="0"/>
    <x v="1"/>
    <x v="0"/>
    <x v="0"/>
    <x v="0"/>
    <x v="0"/>
    <x v="0"/>
    <x v="0"/>
    <x v="1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1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C7" firstHeaderRow="0" firstDataRow="1" firstDataCol="1"/>
  <pivotFields count="1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6"/>
  </rowFields>
  <rowItems count="4">
    <i>
      <x v="0"/>
    </i>
    <i>
      <x v="1"/>
    </i>
    <i>
      <x v="2"/>
    </i>
    <i t="grand">
      <x v="3"/>
    </i>
  </rowItems>
  <colFields count="1">
    <field x="-2"/>
  </colFields>
  <colItems count="1">
    <i t="grand">
      <x v="0"/>
    </i>
  </colItems>
  <dataFields count="2">
    <dataField name="Sum of Donation Amount" fld="72" subtotal="sum" numFmtId="164"/>
    <dataField name="Sum of Net Total Charges By JustGiving" fld="85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J3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DO3" activeCellId="0" sqref="DO3"/>
    </sheetView>
  </sheetViews>
  <sheetFormatPr defaultColWidth="10.16015625" defaultRowHeight="14.25" customHeight="true" zeroHeight="false" outlineLevelRow="0" outlineLevelCol="0"/>
  <cols>
    <col collapsed="false" customWidth="true" hidden="false" outlineLevel="0" max="1" min="1" style="1" width="19.52"/>
    <col collapsed="false" customWidth="true" hidden="false" outlineLevel="0" max="2" min="2" style="1" width="16.95"/>
    <col collapsed="false" customWidth="true" hidden="false" outlineLevel="0" max="3" min="3" style="1" width="22.1"/>
    <col collapsed="false" customWidth="true" hidden="false" outlineLevel="0" max="4" min="4" style="1" width="21.85"/>
    <col collapsed="false" customWidth="true" hidden="false" outlineLevel="0" max="6" min="5" style="1" width="25.9"/>
    <col collapsed="false" customWidth="true" hidden="true" outlineLevel="0" max="7" min="7" style="1" width="18.07"/>
    <col collapsed="false" customWidth="true" hidden="true" outlineLevel="0" max="8" min="8" style="1" width="19.4"/>
    <col collapsed="false" customWidth="true" hidden="true" outlineLevel="0" max="9" min="9" style="1" width="21.12"/>
    <col collapsed="false" customWidth="true" hidden="true" outlineLevel="0" max="10" min="10" style="1" width="20.13"/>
    <col collapsed="false" customWidth="true" hidden="true" outlineLevel="0" max="11" min="11" style="1" width="29.93"/>
    <col collapsed="false" customWidth="true" hidden="true" outlineLevel="0" max="12" min="12" style="1" width="26.51"/>
    <col collapsed="false" customWidth="true" hidden="true" outlineLevel="0" max="13" min="13" style="1" width="28.84"/>
    <col collapsed="false" customWidth="true" hidden="true" outlineLevel="0" max="14" min="14" style="1" width="20.76"/>
    <col collapsed="false" customWidth="true" hidden="true" outlineLevel="0" max="15" min="15" style="1" width="24.18"/>
    <col collapsed="false" customWidth="true" hidden="true" outlineLevel="0" max="16" min="16" style="1" width="19.4"/>
    <col collapsed="false" customWidth="true" hidden="true" outlineLevel="0" max="17" min="17" style="1" width="17.56"/>
    <col collapsed="false" customWidth="true" hidden="true" outlineLevel="0" max="18" min="18" style="1" width="18.17"/>
    <col collapsed="false" customWidth="true" hidden="true" outlineLevel="0" max="19" min="19" style="1" width="32.15"/>
    <col collapsed="false" customWidth="true" hidden="true" outlineLevel="0" max="20" min="20" style="1" width="31.78"/>
    <col collapsed="false" customWidth="true" hidden="true" outlineLevel="0" max="21" min="21" style="1" width="40.6"/>
    <col collapsed="false" customWidth="true" hidden="true" outlineLevel="0" max="22" min="22" style="1" width="60.22"/>
    <col collapsed="false" customWidth="true" hidden="true" outlineLevel="0" max="23" min="23" style="1" width="29.21"/>
    <col collapsed="false" customWidth="true" hidden="true" outlineLevel="0" max="24" min="24" style="1" width="27.61"/>
    <col collapsed="false" customWidth="true" hidden="true" outlineLevel="0" max="25" min="25" style="1" width="32.27"/>
    <col collapsed="false" customWidth="true" hidden="true" outlineLevel="0" max="26" min="26" style="1" width="20.26"/>
    <col collapsed="false" customWidth="true" hidden="true" outlineLevel="0" max="27" min="27" style="1" width="20.38"/>
    <col collapsed="false" customWidth="true" hidden="true" outlineLevel="0" max="28" min="28" style="1" width="24.3"/>
    <col collapsed="false" customWidth="true" hidden="true" outlineLevel="0" max="29" min="29" style="1" width="36.19"/>
    <col collapsed="false" customWidth="true" hidden="true" outlineLevel="0" max="30" min="30" style="1" width="31.78"/>
    <col collapsed="false" customWidth="true" hidden="true" outlineLevel="0" max="31" min="31" style="1" width="33.01"/>
    <col collapsed="false" customWidth="true" hidden="true" outlineLevel="0" max="32" min="32" style="1" width="25.53"/>
    <col collapsed="false" customWidth="true" hidden="true" outlineLevel="0" max="33" min="33" style="1" width="14.62"/>
    <col collapsed="false" customWidth="true" hidden="true" outlineLevel="0" max="34" min="34" style="1" width="17.93"/>
    <col collapsed="false" customWidth="true" hidden="true" outlineLevel="0" max="35" min="35" style="1" width="10.7"/>
    <col collapsed="false" customWidth="true" hidden="false" outlineLevel="0" max="36" min="36" style="1" width="15.11"/>
    <col collapsed="false" customWidth="true" hidden="false" outlineLevel="0" max="37" min="37" style="1" width="17.44"/>
    <col collapsed="false" customWidth="true" hidden="false" outlineLevel="0" max="38" min="38" style="1" width="20.02"/>
    <col collapsed="false" customWidth="true" hidden="false" outlineLevel="0" max="39" min="39" style="1" width="22.7"/>
    <col collapsed="false" customWidth="true" hidden="false" outlineLevel="0" max="40" min="40" style="1" width="16.82"/>
    <col collapsed="false" customWidth="true" hidden="false" outlineLevel="0" max="41" min="41" style="1" width="12.9"/>
    <col collapsed="false" customWidth="true" hidden="false" outlineLevel="0" max="42" min="42" style="1" width="18.67"/>
    <col collapsed="false" customWidth="true" hidden="false" outlineLevel="0" max="43" min="43" style="1" width="15.85"/>
    <col collapsed="false" customWidth="true" hidden="false" outlineLevel="0" max="44" min="44" style="1" width="13.27"/>
    <col collapsed="false" customWidth="true" hidden="false" outlineLevel="0" max="45" min="45" style="1" width="18.42"/>
    <col collapsed="false" customWidth="true" hidden="false" outlineLevel="0" max="46" min="46" style="1" width="18.17"/>
    <col collapsed="false" customWidth="true" hidden="false" outlineLevel="0" max="48" min="47" style="1" width="22.22"/>
    <col collapsed="false" customWidth="true" hidden="false" outlineLevel="0" max="49" min="49" style="1" width="14.37"/>
    <col collapsed="false" customWidth="true" hidden="false" outlineLevel="0" max="50" min="50" style="1" width="15.72"/>
    <col collapsed="false" customWidth="true" hidden="false" outlineLevel="0" max="51" min="51" style="1" width="17.44"/>
    <col collapsed="false" customWidth="true" hidden="false" outlineLevel="0" max="52" min="52" style="1" width="16.46"/>
    <col collapsed="false" customWidth="true" hidden="false" outlineLevel="0" max="53" min="53" style="1" width="14.97"/>
    <col collapsed="false" customWidth="true" hidden="false" outlineLevel="0" max="54" min="54" style="1" width="22.83"/>
    <col collapsed="false" customWidth="true" hidden="false" outlineLevel="0" max="55" min="55" style="1" width="20.63"/>
    <col collapsed="false" customWidth="true" hidden="false" outlineLevel="0" max="56" min="56" style="1" width="26.51"/>
    <col collapsed="false" customWidth="true" hidden="false" outlineLevel="0" max="57" min="57" style="1" width="14.88"/>
    <col collapsed="false" customWidth="true" hidden="false" outlineLevel="0" max="58" min="58" style="1" width="16.09"/>
    <col collapsed="false" customWidth="true" hidden="false" outlineLevel="0" max="59" min="59" style="1" width="11.55"/>
    <col collapsed="false" customWidth="true" hidden="false" outlineLevel="0" max="60" min="60" style="1" width="17.93"/>
    <col collapsed="false" customWidth="true" hidden="false" outlineLevel="0" max="61" min="61" style="1" width="16.71"/>
    <col collapsed="false" customWidth="true" hidden="false" outlineLevel="0" max="62" min="62" style="1" width="20.63"/>
    <col collapsed="false" customWidth="true" hidden="false" outlineLevel="0" max="63" min="63" style="1" width="32.02"/>
    <col collapsed="false" customWidth="true" hidden="false" outlineLevel="0" max="64" min="64" style="1" width="45.03"/>
    <col collapsed="false" customWidth="true" hidden="false" outlineLevel="0" max="65" min="65" style="1" width="18.29"/>
    <col collapsed="false" customWidth="true" hidden="false" outlineLevel="0" max="66" min="66" style="1" width="15.72"/>
    <col collapsed="false" customWidth="true" hidden="false" outlineLevel="0" max="67" min="67" style="1" width="35.33"/>
    <col collapsed="false" customWidth="true" hidden="false" outlineLevel="0" max="68" min="68" style="1" width="28.47"/>
    <col collapsed="false" customWidth="true" hidden="false" outlineLevel="0" max="69" min="69" style="1" width="32.88"/>
    <col collapsed="false" customWidth="true" hidden="false" outlineLevel="0" max="72" min="70" style="1" width="16.82"/>
    <col collapsed="false" customWidth="true" hidden="false" outlineLevel="0" max="73" min="73" style="1" width="19.03"/>
    <col collapsed="false" customWidth="true" hidden="false" outlineLevel="0" max="74" min="74" style="1" width="23.33"/>
    <col collapsed="false" customWidth="true" hidden="false" outlineLevel="0" max="75" min="75" style="1" width="28.59"/>
    <col collapsed="false" customWidth="true" hidden="false" outlineLevel="0" max="76" min="76" style="1" width="31.78"/>
    <col collapsed="false" customWidth="true" hidden="false" outlineLevel="0" max="77" min="77" style="1" width="35.33"/>
    <col collapsed="false" customWidth="true" hidden="false" outlineLevel="0" max="78" min="78" style="1" width="36.44"/>
    <col collapsed="false" customWidth="true" hidden="false" outlineLevel="0" max="79" min="79" style="1" width="30.31"/>
    <col collapsed="false" customWidth="true" hidden="false" outlineLevel="0" max="80" min="80" style="1" width="33.49"/>
    <col collapsed="false" customWidth="true" hidden="false" outlineLevel="0" max="81" min="81" style="1" width="22.47"/>
    <col collapsed="false" customWidth="true" hidden="false" outlineLevel="0" max="82" min="82" style="1" width="15.97"/>
    <col collapsed="false" customWidth="true" hidden="false" outlineLevel="0" max="83" min="83" style="1" width="40.24"/>
    <col collapsed="false" customWidth="true" hidden="false" outlineLevel="0" max="84" min="84" style="1" width="38.52"/>
    <col collapsed="false" customWidth="true" hidden="false" outlineLevel="0" max="85" min="85" style="1" width="19.64"/>
    <col collapsed="false" customWidth="true" hidden="false" outlineLevel="0" max="86" min="86" style="1" width="30.56"/>
    <col collapsed="false" customWidth="true" hidden="false" outlineLevel="0" max="87" min="87" style="1" width="26.64"/>
    <col collapsed="false" customWidth="true" hidden="false" outlineLevel="0" max="88" min="88" style="1" width="17.56"/>
    <col collapsed="false" customWidth="true" hidden="false" outlineLevel="0" max="89" min="89" style="1" width="20.63"/>
    <col collapsed="false" customWidth="true" hidden="false" outlineLevel="0" max="90" min="90" style="1" width="21.85"/>
    <col collapsed="false" customWidth="true" hidden="false" outlineLevel="0" max="91" min="91" style="1" width="20.5"/>
    <col collapsed="false" customWidth="true" hidden="false" outlineLevel="0" max="94" min="92" style="1" width="21.85"/>
    <col collapsed="false" customWidth="true" hidden="false" outlineLevel="0" max="100" min="95" style="1" width="22.47"/>
    <col collapsed="false" customWidth="true" hidden="false" outlineLevel="0" max="103" min="101" style="1" width="18.79"/>
    <col collapsed="false" customWidth="true" hidden="false" outlineLevel="0" max="104" min="104" style="1" width="24.91"/>
    <col collapsed="false" customWidth="true" hidden="false" outlineLevel="0" max="105" min="105" style="1" width="29.33"/>
    <col collapsed="false" customWidth="true" hidden="false" outlineLevel="0" max="106" min="106" style="1" width="36.93"/>
    <col collapsed="false" customWidth="true" hidden="false" outlineLevel="0" max="107" min="107" style="1" width="33.98"/>
    <col collapsed="false" customWidth="true" hidden="false" outlineLevel="0" max="108" min="108" style="1" width="19.03"/>
    <col collapsed="false" customWidth="true" hidden="false" outlineLevel="0" max="109" min="109" style="1" width="23.45"/>
    <col collapsed="false" customWidth="true" hidden="false" outlineLevel="0" max="110" min="110" style="1" width="32.15"/>
    <col collapsed="false" customWidth="true" hidden="false" outlineLevel="0" max="111" min="111" style="1" width="28.1"/>
    <col collapsed="false" customWidth="true" hidden="false" outlineLevel="0" max="112" min="112" style="1" width="29.08"/>
    <col collapsed="false" customWidth="true" hidden="false" outlineLevel="0" max="113" min="113" style="1" width="45.75"/>
    <col collapsed="false" customWidth="true" hidden="false" outlineLevel="0" max="114" min="114" style="1" width="67.3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3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3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3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3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</row>
    <row r="2" customFormat="false" ht="14.25" hidden="false" customHeight="false" outlineLevel="0" collapsed="false">
      <c r="A2" s="1" t="s">
        <v>114</v>
      </c>
      <c r="C2" s="1" t="s">
        <v>115</v>
      </c>
      <c r="D2" s="1" t="s">
        <v>116</v>
      </c>
      <c r="K2" s="1" t="s">
        <v>117</v>
      </c>
      <c r="L2" s="1" t="s">
        <v>118</v>
      </c>
      <c r="M2" s="1" t="s">
        <v>118</v>
      </c>
      <c r="N2" s="1" t="s">
        <v>119</v>
      </c>
      <c r="O2" s="1" t="s">
        <v>120</v>
      </c>
      <c r="P2" s="1" t="s">
        <v>121</v>
      </c>
      <c r="Q2" s="1" t="s">
        <v>121</v>
      </c>
      <c r="R2" s="1" t="s">
        <v>122</v>
      </c>
      <c r="S2" s="1" t="n">
        <v>0</v>
      </c>
      <c r="T2" s="1" t="n">
        <v>500</v>
      </c>
      <c r="U2" s="1" t="s">
        <v>123</v>
      </c>
      <c r="V2" s="1" t="s">
        <v>124</v>
      </c>
      <c r="Z2" s="1" t="s">
        <v>118</v>
      </c>
      <c r="AG2" s="1" t="s">
        <v>125</v>
      </c>
      <c r="AI2" s="1" t="s">
        <v>119</v>
      </c>
      <c r="AJ2" s="1" t="s">
        <v>126</v>
      </c>
      <c r="AK2" s="1" t="s">
        <v>118</v>
      </c>
      <c r="AL2" s="1" t="s">
        <v>127</v>
      </c>
      <c r="AM2" s="1" t="s">
        <v>128</v>
      </c>
      <c r="AN2" s="1" t="s">
        <v>118</v>
      </c>
      <c r="AO2" s="1" t="s">
        <v>129</v>
      </c>
      <c r="AP2" s="1" t="s">
        <v>130</v>
      </c>
      <c r="AQ2" s="1" t="s">
        <v>131</v>
      </c>
      <c r="AR2" s="1" t="s">
        <v>132</v>
      </c>
      <c r="AS2" s="1" t="s">
        <v>132</v>
      </c>
      <c r="AT2" s="1" t="s">
        <v>132</v>
      </c>
      <c r="AU2" s="1" t="s">
        <v>132</v>
      </c>
      <c r="AV2" s="1" t="s">
        <v>132</v>
      </c>
      <c r="AW2" s="1" t="s">
        <v>132</v>
      </c>
      <c r="AX2" s="1" t="s">
        <v>132</v>
      </c>
      <c r="AY2" s="1" t="s">
        <v>132</v>
      </c>
      <c r="BA2" s="1" t="s">
        <v>132</v>
      </c>
      <c r="BB2" s="1" t="s">
        <v>118</v>
      </c>
      <c r="BC2" s="1" t="s">
        <v>118</v>
      </c>
      <c r="BD2" s="1" t="s">
        <v>127</v>
      </c>
      <c r="BE2" s="1" t="s">
        <v>133</v>
      </c>
      <c r="BF2" s="1" t="s">
        <v>134</v>
      </c>
      <c r="BG2" s="1" t="s">
        <v>118</v>
      </c>
      <c r="BH2" s="1" t="s">
        <v>135</v>
      </c>
      <c r="BI2" s="1" t="s">
        <v>136</v>
      </c>
      <c r="BJ2" s="1" t="s">
        <v>137</v>
      </c>
      <c r="BL2" s="1" t="s">
        <v>138</v>
      </c>
      <c r="BM2" s="1" t="s">
        <v>139</v>
      </c>
      <c r="BO2" s="1" t="n">
        <v>0</v>
      </c>
      <c r="BP2" s="1" t="n">
        <v>4877124</v>
      </c>
      <c r="BQ2" s="1" t="s">
        <v>140</v>
      </c>
      <c r="BU2" s="1" t="n">
        <v>10</v>
      </c>
      <c r="BV2" s="1" t="s">
        <v>127</v>
      </c>
      <c r="BW2" s="1" t="s">
        <v>141</v>
      </c>
      <c r="BX2" s="1" t="n">
        <v>0.19</v>
      </c>
      <c r="BY2" s="1" t="n">
        <v>0.3</v>
      </c>
      <c r="BZ2" s="1" t="n">
        <v>0.49</v>
      </c>
      <c r="CA2" s="1" t="s">
        <v>142</v>
      </c>
      <c r="CB2" s="1" t="n">
        <v>0</v>
      </c>
      <c r="CC2" s="1" t="n">
        <v>9.51</v>
      </c>
      <c r="CD2" s="1" t="n">
        <v>0</v>
      </c>
      <c r="CE2" s="1" t="n">
        <v>0</v>
      </c>
      <c r="CF2" s="1" t="n">
        <v>0</v>
      </c>
      <c r="CG2" s="1" t="s">
        <v>143</v>
      </c>
      <c r="CH2" s="1" t="n">
        <v>0.49</v>
      </c>
      <c r="CI2" s="1" t="n">
        <v>9.51</v>
      </c>
      <c r="CJ2" s="1" t="s">
        <v>144</v>
      </c>
      <c r="CK2" s="1" t="s">
        <v>145</v>
      </c>
      <c r="CM2" s="1" t="s">
        <v>146</v>
      </c>
      <c r="CQ2" s="1" t="s">
        <v>147</v>
      </c>
      <c r="CR2" s="1" t="s">
        <v>148</v>
      </c>
      <c r="CS2" s="1" t="s">
        <v>149</v>
      </c>
      <c r="CT2" s="1" t="s">
        <v>150</v>
      </c>
      <c r="CU2" s="1" t="s">
        <v>151</v>
      </c>
      <c r="CZ2" s="1" t="s">
        <v>118</v>
      </c>
      <c r="DA2" s="1" t="s">
        <v>152</v>
      </c>
      <c r="DB2" s="1" t="s">
        <v>153</v>
      </c>
      <c r="DC2" s="1" t="s">
        <v>154</v>
      </c>
      <c r="DD2" s="1" t="s">
        <v>118</v>
      </c>
      <c r="DE2" s="1" t="s">
        <v>155</v>
      </c>
      <c r="DF2" s="1" t="s">
        <v>153</v>
      </c>
      <c r="DG2" s="1" t="s">
        <v>154</v>
      </c>
      <c r="DH2" s="1" t="s">
        <v>118</v>
      </c>
      <c r="DI2" s="1" t="n">
        <v>10</v>
      </c>
      <c r="DJ2" s="1" t="n">
        <v>12.5</v>
      </c>
    </row>
    <row r="3" customFormat="false" ht="14.25" hidden="false" customHeight="false" outlineLevel="0" collapsed="false">
      <c r="A3" s="1" t="s">
        <v>156</v>
      </c>
      <c r="C3" s="1" t="s">
        <v>115</v>
      </c>
      <c r="D3" s="1" t="s">
        <v>157</v>
      </c>
      <c r="E3" s="1" t="s">
        <v>158</v>
      </c>
      <c r="F3" s="1" t="s">
        <v>159</v>
      </c>
      <c r="G3" s="1" t="s">
        <v>160</v>
      </c>
      <c r="I3" s="1" t="s">
        <v>161</v>
      </c>
      <c r="J3" s="1" t="s">
        <v>162</v>
      </c>
      <c r="K3" s="1" t="s">
        <v>163</v>
      </c>
      <c r="L3" s="1" t="s">
        <v>118</v>
      </c>
      <c r="M3" s="1" t="s">
        <v>118</v>
      </c>
      <c r="N3" s="1" t="s">
        <v>164</v>
      </c>
      <c r="O3" s="1" t="s">
        <v>165</v>
      </c>
      <c r="P3" s="1" t="s">
        <v>166</v>
      </c>
      <c r="Q3" s="1" t="s">
        <v>167</v>
      </c>
      <c r="R3" s="1" t="s">
        <v>168</v>
      </c>
      <c r="S3" s="1" t="n">
        <v>0</v>
      </c>
      <c r="T3" s="1" t="n">
        <v>500</v>
      </c>
      <c r="U3" s="1" t="s">
        <v>169</v>
      </c>
      <c r="V3" s="1" t="s">
        <v>170</v>
      </c>
      <c r="Z3" s="1" t="s">
        <v>118</v>
      </c>
      <c r="AG3" s="1" t="s">
        <v>125</v>
      </c>
      <c r="AI3" s="1" t="s">
        <v>164</v>
      </c>
      <c r="AJ3" s="1" t="s">
        <v>171</v>
      </c>
      <c r="AK3" s="1" t="s">
        <v>118</v>
      </c>
      <c r="AL3" s="1" t="s">
        <v>127</v>
      </c>
      <c r="AM3" s="1" t="s">
        <v>172</v>
      </c>
      <c r="AN3" s="1" t="s">
        <v>118</v>
      </c>
      <c r="AO3" s="1" t="s">
        <v>173</v>
      </c>
      <c r="AP3" s="1" t="s">
        <v>174</v>
      </c>
      <c r="AQ3" s="1" t="s">
        <v>175</v>
      </c>
      <c r="AR3" s="1" t="s">
        <v>132</v>
      </c>
      <c r="AS3" s="1" t="s">
        <v>132</v>
      </c>
      <c r="AT3" s="1" t="s">
        <v>132</v>
      </c>
      <c r="AU3" s="1" t="s">
        <v>132</v>
      </c>
      <c r="AV3" s="1" t="s">
        <v>132</v>
      </c>
      <c r="AW3" s="1" t="s">
        <v>132</v>
      </c>
      <c r="AX3" s="1" t="s">
        <v>132</v>
      </c>
      <c r="AY3" s="1" t="s">
        <v>132</v>
      </c>
      <c r="BA3" s="1" t="s">
        <v>132</v>
      </c>
      <c r="BB3" s="1" t="s">
        <v>118</v>
      </c>
      <c r="BC3" s="1" t="s">
        <v>118</v>
      </c>
      <c r="BD3" s="1" t="s">
        <v>127</v>
      </c>
      <c r="BE3" s="2" t="s">
        <v>176</v>
      </c>
      <c r="BF3" s="1" t="s">
        <v>177</v>
      </c>
      <c r="BG3" s="1" t="s">
        <v>118</v>
      </c>
      <c r="BH3" s="1" t="s">
        <v>135</v>
      </c>
      <c r="BI3" s="1" t="s">
        <v>136</v>
      </c>
      <c r="BJ3" s="1" t="s">
        <v>137</v>
      </c>
      <c r="BL3" s="1" t="s">
        <v>138</v>
      </c>
      <c r="BM3" s="1" t="s">
        <v>178</v>
      </c>
      <c r="BO3" s="1" t="n">
        <v>0</v>
      </c>
      <c r="BP3" s="1" t="n">
        <v>4877123</v>
      </c>
      <c r="BQ3" s="1" t="s">
        <v>140</v>
      </c>
      <c r="BU3" s="1" t="n">
        <v>10</v>
      </c>
      <c r="BV3" s="1" t="s">
        <v>127</v>
      </c>
      <c r="BW3" s="1" t="s">
        <v>141</v>
      </c>
      <c r="BX3" s="1" t="n">
        <v>0.19</v>
      </c>
      <c r="BY3" s="1" t="n">
        <v>0.3</v>
      </c>
      <c r="BZ3" s="1" t="n">
        <v>0.49</v>
      </c>
      <c r="CA3" s="1" t="s">
        <v>142</v>
      </c>
      <c r="CB3" s="1" t="n">
        <v>0</v>
      </c>
      <c r="CC3" s="1" t="n">
        <v>9.51</v>
      </c>
      <c r="CD3" s="1" t="n">
        <v>0</v>
      </c>
      <c r="CE3" s="1" t="n">
        <v>0</v>
      </c>
      <c r="CF3" s="1" t="n">
        <v>0</v>
      </c>
      <c r="CG3" s="1" t="s">
        <v>143</v>
      </c>
      <c r="CH3" s="1" t="n">
        <v>0.49</v>
      </c>
      <c r="CI3" s="1" t="n">
        <v>9.51</v>
      </c>
      <c r="CJ3" s="1" t="s">
        <v>144</v>
      </c>
      <c r="CM3" s="1" t="s">
        <v>179</v>
      </c>
      <c r="CQ3" s="1" t="s">
        <v>147</v>
      </c>
      <c r="CR3" s="1" t="s">
        <v>149</v>
      </c>
      <c r="CS3" s="1" t="s">
        <v>180</v>
      </c>
      <c r="CT3" s="1" t="s">
        <v>150</v>
      </c>
      <c r="CZ3" s="1" t="s">
        <v>118</v>
      </c>
      <c r="DA3" s="1" t="s">
        <v>181</v>
      </c>
      <c r="DB3" s="1" t="s">
        <v>153</v>
      </c>
      <c r="DC3" s="1" t="s">
        <v>154</v>
      </c>
      <c r="DD3" s="1" t="s">
        <v>118</v>
      </c>
      <c r="DE3" s="1" t="s">
        <v>182</v>
      </c>
      <c r="DF3" s="1" t="s">
        <v>153</v>
      </c>
      <c r="DG3" s="1" t="s">
        <v>154</v>
      </c>
      <c r="DH3" s="1" t="s">
        <v>118</v>
      </c>
      <c r="DI3" s="1" t="n">
        <v>10</v>
      </c>
      <c r="DJ3" s="1" t="n">
        <v>12.5</v>
      </c>
    </row>
  </sheetData>
  <autoFilter ref="A1:DJ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7.78"/>
    <col collapsed="false" customWidth="true" hidden="false" outlineLevel="0" max="2" min="2" style="1" width="21.44"/>
    <col collapsed="false" customWidth="true" hidden="false" outlineLevel="0" max="3" min="3" style="1" width="32.78"/>
    <col collapsed="false" customWidth="true" hidden="false" outlineLevel="0" max="4" min="4" style="1" width="21.44"/>
  </cols>
  <sheetData>
    <row r="3" customFormat="false" ht="14.25" hidden="false" customHeight="false" outlineLevel="0" collapsed="false">
      <c r="A3" s="4" t="s">
        <v>96</v>
      </c>
      <c r="B3" s="5" t="s">
        <v>183</v>
      </c>
      <c r="C3" s="6" t="s">
        <v>184</v>
      </c>
    </row>
    <row r="4" customFormat="false" ht="14.25" hidden="false" customHeight="false" outlineLevel="0" collapsed="false">
      <c r="A4" s="7" t="s">
        <v>149</v>
      </c>
      <c r="B4" s="8" t="n">
        <v>10</v>
      </c>
      <c r="C4" s="9" t="n">
        <v>0.49</v>
      </c>
    </row>
    <row r="5" customFormat="false" ht="14.25" hidden="false" customHeight="false" outlineLevel="0" collapsed="false">
      <c r="A5" s="10" t="s">
        <v>185</v>
      </c>
      <c r="B5" s="11"/>
      <c r="C5" s="12"/>
    </row>
    <row r="6" customFormat="false" ht="14.25" hidden="false" customHeight="false" outlineLevel="0" collapsed="false">
      <c r="A6" s="10" t="s">
        <v>180</v>
      </c>
      <c r="B6" s="13" t="n">
        <v>10</v>
      </c>
      <c r="C6" s="14" t="n">
        <v>0.49</v>
      </c>
    </row>
    <row r="7" customFormat="false" ht="14.25" hidden="false" customHeight="false" outlineLevel="0" collapsed="false">
      <c r="A7" s="15" t="s">
        <v>186</v>
      </c>
      <c r="B7" s="16" t="n">
        <v>20</v>
      </c>
      <c r="C7" s="17" t="n">
        <v>0.98</v>
      </c>
    </row>
    <row r="15" customFormat="false" ht="14.25" hidden="false" customHeight="false" outlineLevel="0" collapsed="false">
      <c r="B15" s="1" t="n">
        <f aca="false">GETPIVOTDATA("Sum of Donation Amount",$A$3,"Custom Fundraising 3","Corporate")+GETPIVOTDATA("Sum of Donation Amount",$A$3,"Custom Fundraising 3","General (not Appeal)")+GETPIVOTDATA("Sum of Donation Amount",$A$3,"Custom Fundraising 3","Vintners Place")</f>
        <v>2264.52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4641B0E213F44991AACF179A34FB84" ma:contentTypeVersion="16" ma:contentTypeDescription="Create a new document." ma:contentTypeScope="" ma:versionID="904deeed70fdd691f620eaaf8745a56e">
  <xsd:schema xmlns:xsd="http://www.w3.org/2001/XMLSchema" xmlns:xs="http://www.w3.org/2001/XMLSchema" xmlns:p="http://schemas.microsoft.com/office/2006/metadata/properties" xmlns:ns2="8e988a32-ca6b-46dd-814f-c920629e3bc3" xmlns:ns3="eaeae3d9-365b-4b33-b263-b8df31d272ee" targetNamespace="http://schemas.microsoft.com/office/2006/metadata/properties" ma:root="true" ma:fieldsID="41eb573cd14f6c16ebfdd10970da7f5b" ns2:_="" ns3:_="">
    <xsd:import namespace="8e988a32-ca6b-46dd-814f-c920629e3bc3"/>
    <xsd:import namespace="eaeae3d9-365b-4b33-b263-b8df31d272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88a32-ca6b-46dd-814f-c920629e3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7eb4d6-9cb9-44fe-b174-1677930dfd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ae3d9-365b-4b33-b263-b8df31d272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cfc099-c107-477a-a816-fa5ffc227f7b}" ma:internalName="TaxCatchAll" ma:showField="CatchAllData" ma:web="eaeae3d9-365b-4b33-b263-b8df31d272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988a32-ca6b-46dd-814f-c920629e3bc3">
      <Terms xmlns="http://schemas.microsoft.com/office/infopath/2007/PartnerControls"/>
    </lcf76f155ced4ddcb4097134ff3c332f>
    <TaxCatchAll xmlns="eaeae3d9-365b-4b33-b263-b8df31d272ee" xsi:nil="true"/>
  </documentManagement>
</p:properties>
</file>

<file path=customXml/itemProps1.xml><?xml version="1.0" encoding="utf-8"?>
<ds:datastoreItem xmlns:ds="http://schemas.openxmlformats.org/officeDocument/2006/customXml" ds:itemID="{E808269E-B5BF-4121-820B-1512230F04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988a32-ca6b-46dd-814f-c920629e3bc3"/>
    <ds:schemaRef ds:uri="eaeae3d9-365b-4b33-b263-b8df31d272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0B88DC-22BF-471A-8C07-69615BC7E8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5A11CE-AC32-4A30-A5AA-7D80C016805B}">
  <ds:schemaRefs>
    <ds:schemaRef ds:uri="http://schemas.microsoft.com/office/2006/metadata/properties"/>
    <ds:schemaRef ds:uri="http://schemas.microsoft.com/office/infopath/2007/PartnerControls"/>
    <ds:schemaRef ds:uri="8e988a32-ca6b-46dd-814f-c920629e3bc3"/>
    <ds:schemaRef ds:uri="eaeae3d9-365b-4b33-b263-b8df31d272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2025-12-19T16:00:59Z</dcterms:created>
  <dc:creator>Jo Page</dc:creator>
  <dc:description/>
  <dc:language>en-GB</dc:language>
  <cp:lastModifiedBy/>
  <dcterms:modified xsi:type="dcterms:W3CDTF">2026-02-04T15:26:24Z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0x010100BF4641B0E213F44991AACF179A34FB84</vt:lpwstr>
  </property>
</Properties>
</file>